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serData\SakuraFalling\Documents\ZR战队\购物\"/>
    </mc:Choice>
  </mc:AlternateContent>
  <xr:revisionPtr revIDLastSave="0" documentId="13_ncr:1_{F706BE32-06AA-4484-8F15-8BE90E787937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5" i="1" l="1"/>
</calcChain>
</file>

<file path=xl/sharedStrings.xml><?xml version="1.0" encoding="utf-8"?>
<sst xmlns="http://schemas.openxmlformats.org/spreadsheetml/2006/main" count="181" uniqueCount="102">
  <si>
    <t>STM32F103C8T6核心板</t>
    <phoneticPr fontId="1" type="noConversion"/>
  </si>
  <si>
    <t>物品名称</t>
    <phoneticPr fontId="1" type="noConversion"/>
  </si>
  <si>
    <t>数量</t>
    <phoneticPr fontId="1" type="noConversion"/>
  </si>
  <si>
    <t>款式</t>
    <phoneticPr fontId="1" type="noConversion"/>
  </si>
  <si>
    <t>STM32F103C8T6_Micro_ 焊接</t>
  </si>
  <si>
    <t>是否足够</t>
    <phoneticPr fontId="1" type="noConversion"/>
  </si>
  <si>
    <t>是</t>
    <phoneticPr fontId="1" type="noConversion"/>
  </si>
  <si>
    <t>是（两辆）</t>
    <phoneticPr fontId="1" type="noConversion"/>
  </si>
  <si>
    <t>MG995舵机</t>
    <phoneticPr fontId="1" type="noConversion"/>
  </si>
  <si>
    <t>MG995 舵机 _180 度 _ 铁+ 铜齿轮</t>
    <phoneticPr fontId="1" type="noConversion"/>
  </si>
  <si>
    <t>SG90 舵机</t>
  </si>
  <si>
    <t xml:space="preserve">  SG90舵机_180度</t>
    <phoneticPr fontId="1" type="noConversion"/>
  </si>
  <si>
    <t>PS2手柄</t>
    <phoneticPr fontId="1" type="noConversion"/>
  </si>
  <si>
    <t>无线手柄锁定款+直插转接板（排针）</t>
    <phoneticPr fontId="1" type="noConversion"/>
  </si>
  <si>
    <t>TT 马达</t>
    <phoneticPr fontId="1" type="noConversion"/>
  </si>
  <si>
    <t>单轴 1 比 48</t>
    <phoneticPr fontId="1" type="noConversion"/>
  </si>
  <si>
    <t>麦克纳姆轮</t>
  </si>
  <si>
    <t>黄色麦轮一套 4 个TT 马达联轴器</t>
  </si>
  <si>
    <t>小车底盘</t>
  </si>
  <si>
    <t>4 轮金属底盘折弯板（一 体带马达孔）</t>
    <phoneticPr fontId="1" type="noConversion"/>
  </si>
  <si>
    <t>STLink 程序烧录器</t>
    <phoneticPr fontId="1" type="noConversion"/>
  </si>
  <si>
    <t>进口软件可升级版本（颜色随机发）</t>
    <phoneticPr fontId="1" type="noConversion"/>
  </si>
  <si>
    <t>DRV8833 电机驱动模块</t>
    <phoneticPr fontId="1" type="noConversion"/>
  </si>
  <si>
    <t>驱动模块 _ 红板</t>
    <phoneticPr fontId="1" type="noConversion"/>
  </si>
  <si>
    <t>DC-DC 降压模块</t>
  </si>
  <si>
    <t>Mini 降压模块 _5V_ 黑板</t>
    <phoneticPr fontId="1" type="noConversion"/>
  </si>
  <si>
    <t>18650 电池</t>
    <phoneticPr fontId="1" type="noConversion"/>
  </si>
  <si>
    <t>18650 电池盒</t>
  </si>
  <si>
    <t>18650 充电器</t>
    <phoneticPr fontId="1" type="noConversion"/>
  </si>
  <si>
    <t>面包板（洞洞板）</t>
    <phoneticPr fontId="1" type="noConversion"/>
  </si>
  <si>
    <t>1份</t>
    <phoneticPr fontId="1" type="noConversion"/>
  </si>
  <si>
    <t>母对公 /40P</t>
  </si>
  <si>
    <t>公对公 /40P</t>
    <phoneticPr fontId="1" type="noConversion"/>
  </si>
  <si>
    <t>母对母 /40P</t>
    <phoneticPr fontId="1" type="noConversion"/>
  </si>
  <si>
    <t>无线继电器</t>
    <phoneticPr fontId="1" type="noConversion"/>
  </si>
  <si>
    <t>是否先买</t>
    <phoneticPr fontId="1" type="noConversion"/>
  </si>
  <si>
    <t>是</t>
    <phoneticPr fontId="1" type="noConversion"/>
  </si>
  <si>
    <t>否</t>
    <phoneticPr fontId="1" type="noConversion"/>
  </si>
  <si>
    <t>参考单价</t>
    <phoneticPr fontId="1" type="noConversion"/>
  </si>
  <si>
    <t>参考链接</t>
    <phoneticPr fontId="1" type="noConversion"/>
  </si>
  <si>
    <t>https://e.tb.cn/h.8qmiinPTPVSFdBq?tk=d0ihT78u5AA</t>
    <phoneticPr fontId="1" type="noConversion"/>
  </si>
  <si>
    <t>https://e.tb.cn/h.8KOMQ9zwxOrhMRg?
tk=NMrIT78fPIN</t>
    <phoneticPr fontId="1" type="noConversion"/>
  </si>
  <si>
    <t>https://e.tb.cn/h.8JHooPMJDAX7Uma?
tk=4VnCT78fPIK</t>
    <phoneticPr fontId="1" type="noConversion"/>
  </si>
  <si>
    <t>https://e.tb.cn/h.8KOMQPYMgHRngos?
tk=djUYT7jKB2v</t>
    <phoneticPr fontId="1" type="noConversion"/>
  </si>
  <si>
    <t>https://e.tb.cn/h.8KOMQoJfsP4nIEa?tk=5vJ5T7jzfX5</t>
    <phoneticPr fontId="1" type="noConversion"/>
  </si>
  <si>
    <t>https://e.tb.cn/h.8JHooLAQoU0CpMR?tk=xAJfT7jzfXj</t>
    <phoneticPr fontId="1" type="noConversion"/>
  </si>
  <si>
    <t>https://e.tb.cn/h.8qRxssMgmCZ84wV?
tk=rK4QTi6ttlG</t>
    <phoneticPr fontId="1" type="noConversion"/>
  </si>
  <si>
    <t>https://e.tb.cn/h.8JjltCwcoQ2kPcp?
tk=hldrTi6Gq1V</t>
    <phoneticPr fontId="1" type="noConversion"/>
  </si>
  <si>
    <t>https://e.tb.cn/h.8rKpY3VgHloHsl9?
tk=hDlvTi6FjAa</t>
    <phoneticPr fontId="1" type="noConversion"/>
  </si>
  <si>
    <t>https://e.tb.cn/h.8JjO9bcgokujDo6?
tk=yKuZTi6FrC7</t>
    <phoneticPr fontId="1" type="noConversion"/>
  </si>
  <si>
    <t>https://e.tb.cn/h.8rMCOULYdSnIkcP?
tk=Ki2VTig9NpS</t>
    <phoneticPr fontId="1" type="noConversion"/>
  </si>
  <si>
    <t>https://e.tb.cn/h.8qiSxNOZUr2wRol?
tk=8C4LTih688s</t>
    <phoneticPr fontId="1" type="noConversion"/>
  </si>
  <si>
    <t>18650_ 两节 _ 带线</t>
    <phoneticPr fontId="1" type="noConversion"/>
  </si>
  <si>
    <t>https://e.tb.cn/h.8JjNiq1U4EY0Jmq?
tk=ehdTTi6vPJk</t>
    <phoneticPr fontId="1" type="noConversion"/>
  </si>
  <si>
    <t>https://e.tb.cn/h.8rKqFHpNH252zqk?
tk=Ko5TTi6vHhO</t>
    <phoneticPr fontId="1" type="noConversion"/>
  </si>
  <si>
    <t>https://e.tb.cn/h.8vqTLDUKgWpWl80?
tk=IFYHTPYLjHw</t>
    <phoneticPr fontId="1" type="noConversion"/>
  </si>
  <si>
    <t>（DC5-24V）1个接收器+1个单键（这个必须一样）</t>
    <phoneticPr fontId="1" type="noConversion"/>
  </si>
  <si>
    <t>MB-102_830孔</t>
    <phoneticPr fontId="1" type="noConversion"/>
  </si>
  <si>
    <t>杜邦线10cm</t>
    <phoneticPr fontId="1" type="noConversion"/>
  </si>
  <si>
    <t>双槽充电器（一般买电池的时候会送）</t>
    <phoneticPr fontId="1" type="noConversion"/>
  </si>
  <si>
    <t>3.7V锂电池，容量2000mah左右，</t>
    <phoneticPr fontId="1" type="noConversion"/>
  </si>
  <si>
    <t>可以后面买</t>
    <phoneticPr fontId="1" type="noConversion"/>
  </si>
  <si>
    <t>一个够了</t>
    <phoneticPr fontId="1" type="noConversion"/>
  </si>
  <si>
    <t>是否已有</t>
    <phoneticPr fontId="1" type="noConversion"/>
  </si>
  <si>
    <t>有</t>
    <phoneticPr fontId="1" type="noConversion"/>
  </si>
  <si>
    <t>实际费用</t>
    <phoneticPr fontId="1" type="noConversion"/>
  </si>
  <si>
    <t>工具</t>
    <phoneticPr fontId="1" type="noConversion"/>
  </si>
  <si>
    <t>焊枪及套件</t>
    <phoneticPr fontId="1" type="noConversion"/>
  </si>
  <si>
    <t>有</t>
    <phoneticPr fontId="1" type="noConversion"/>
  </si>
  <si>
    <t>吸锡器</t>
    <phoneticPr fontId="1" type="noConversion"/>
  </si>
  <si>
    <t>48%锡</t>
    <phoneticPr fontId="1" type="noConversion"/>
  </si>
  <si>
    <t>尖嘴钳</t>
    <phoneticPr fontId="1" type="noConversion"/>
  </si>
  <si>
    <t>卡尺</t>
    <phoneticPr fontId="1" type="noConversion"/>
  </si>
  <si>
    <t>钢剪</t>
    <phoneticPr fontId="1" type="noConversion"/>
  </si>
  <si>
    <t>内六角螺丝刀套件</t>
    <phoneticPr fontId="1" type="noConversion"/>
  </si>
  <si>
    <t>总计：</t>
    <phoneticPr fontId="1" type="noConversion"/>
  </si>
  <si>
    <t>出钱购买人</t>
    <phoneticPr fontId="1" type="noConversion"/>
  </si>
  <si>
    <t>姜</t>
    <phoneticPr fontId="1" type="noConversion"/>
  </si>
  <si>
    <t>李</t>
    <phoneticPr fontId="1" type="noConversion"/>
  </si>
  <si>
    <t>汪</t>
    <phoneticPr fontId="1" type="noConversion"/>
  </si>
  <si>
    <t>M3螺丝套件</t>
    <phoneticPr fontId="1" type="noConversion"/>
  </si>
  <si>
    <t>1盒</t>
    <phoneticPr fontId="1" type="noConversion"/>
  </si>
  <si>
    <t>李</t>
    <phoneticPr fontId="1" type="noConversion"/>
  </si>
  <si>
    <t>电胶布</t>
    <phoneticPr fontId="1" type="noConversion"/>
  </si>
  <si>
    <t>3卷</t>
    <phoneticPr fontId="1" type="noConversion"/>
  </si>
  <si>
    <t>2m卷尺</t>
    <phoneticPr fontId="1" type="noConversion"/>
  </si>
  <si>
    <t>是否开票</t>
    <phoneticPr fontId="1" type="noConversion"/>
  </si>
  <si>
    <t>是</t>
    <phoneticPr fontId="1" type="noConversion"/>
  </si>
  <si>
    <t>是否截图订单</t>
    <phoneticPr fontId="1" type="noConversion"/>
  </si>
  <si>
    <t>是</t>
    <phoneticPr fontId="1" type="noConversion"/>
  </si>
  <si>
    <t>疑似丢失</t>
    <phoneticPr fontId="1" type="noConversion"/>
  </si>
  <si>
    <t>备注</t>
    <phoneticPr fontId="1" type="noConversion"/>
  </si>
  <si>
    <t>是</t>
    <phoneticPr fontId="1" type="noConversion"/>
  </si>
  <si>
    <t>是</t>
    <phoneticPr fontId="1" type="noConversion"/>
  </si>
  <si>
    <t>放在姜那里后丢失，正在补买</t>
    <phoneticPr fontId="1" type="noConversion"/>
  </si>
  <si>
    <t>申请中</t>
    <phoneticPr fontId="1" type="noConversion"/>
  </si>
  <si>
    <t>剪线钳</t>
    <phoneticPr fontId="1" type="noConversion"/>
  </si>
  <si>
    <t>有</t>
    <phoneticPr fontId="1" type="noConversion"/>
  </si>
  <si>
    <t>机械爪</t>
    <phoneticPr fontId="1" type="noConversion"/>
  </si>
  <si>
    <t>带MG90S舵机款</t>
    <phoneticPr fontId="1" type="noConversion"/>
  </si>
  <si>
    <t>有</t>
    <phoneticPr fontId="1" type="noConversion"/>
  </si>
  <si>
    <t>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</si>
</sst>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b/>
      <sz val="18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1"/>
    <xf numFmtId="0" fontId="2" fillId="0" borderId="0" xfId="1" applyAlignment="1">
      <alignment wrapText="1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0" fillId="0" borderId="0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1" applyAlignment="1">
      <alignment horizont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.tb.cn/h.8JjltCwcoQ2kPcp?tk=hldrTi6Gq1V" TargetMode="External"/><Relationship Id="rId13" Type="http://schemas.openxmlformats.org/officeDocument/2006/relationships/hyperlink" Target="https://e.tb.cn/h.8JjNiq1U4EY0Jmq?tk=ehdTTi6vPJk" TargetMode="External"/><Relationship Id="rId3" Type="http://schemas.openxmlformats.org/officeDocument/2006/relationships/hyperlink" Target="https://e.tb.cn/h.8KOMQoJfsP4nIEa?tk=5vJ5T7jzfX5" TargetMode="External"/><Relationship Id="rId7" Type="http://schemas.openxmlformats.org/officeDocument/2006/relationships/hyperlink" Target="https://e.tb.cn/h.8qRxssMgmCZ84wV?tk=rK4QTi6ttlG" TargetMode="External"/><Relationship Id="rId12" Type="http://schemas.openxmlformats.org/officeDocument/2006/relationships/hyperlink" Target="https://e.tb.cn/h.8qiSxNOZUr2wRol?tk=8C4LTih688s" TargetMode="External"/><Relationship Id="rId2" Type="http://schemas.openxmlformats.org/officeDocument/2006/relationships/hyperlink" Target="https://e.tb.cn/h.8KOMQPYMgHRngos?tk=djUYT7jKB2v" TargetMode="External"/><Relationship Id="rId1" Type="http://schemas.openxmlformats.org/officeDocument/2006/relationships/hyperlink" Target="https://e.tb.cn/h.8JHooPMJDAX7Uma?tk=4VnCT78fPIK" TargetMode="External"/><Relationship Id="rId6" Type="http://schemas.openxmlformats.org/officeDocument/2006/relationships/hyperlink" Target="https://e.tb.cn/h.8JHooLAQoU0CpMR?tk=xAJfT7jzfXj" TargetMode="External"/><Relationship Id="rId11" Type="http://schemas.openxmlformats.org/officeDocument/2006/relationships/hyperlink" Target="https://e.tb.cn/h.8rMCOULYdSnIkcP?tk=Ki2VTig9NpS" TargetMode="External"/><Relationship Id="rId5" Type="http://schemas.openxmlformats.org/officeDocument/2006/relationships/hyperlink" Target="https://e.tb.cn/h.8KOMQ9zwxOrhMRg?tk=NMrIT78fPIN" TargetMode="External"/><Relationship Id="rId15" Type="http://schemas.openxmlformats.org/officeDocument/2006/relationships/hyperlink" Target="https://e.tb.cn/h.8vqTLDUKgWpWl80?tk=IFYHTPYLjHw" TargetMode="External"/><Relationship Id="rId10" Type="http://schemas.openxmlformats.org/officeDocument/2006/relationships/hyperlink" Target="https://e.tb.cn/h.8JjO9bcgokujDo6?tk=yKuZTi6FrC7" TargetMode="External"/><Relationship Id="rId4" Type="http://schemas.openxmlformats.org/officeDocument/2006/relationships/hyperlink" Target="https://e.tb.cn/h.8qmiinPTPVSFdBq?tk=d0ihT78u5AA" TargetMode="External"/><Relationship Id="rId9" Type="http://schemas.openxmlformats.org/officeDocument/2006/relationships/hyperlink" Target="https://e.tb.cn/h.8rKpY3VgHloHsl9?tk=hDlvTi6FjAa" TargetMode="External"/><Relationship Id="rId14" Type="http://schemas.openxmlformats.org/officeDocument/2006/relationships/hyperlink" Target="https://e.tb.cn/h.8rKqFHpNH252zqk?tk=Ko5TTi6vHh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"/>
  <sheetViews>
    <sheetView tabSelected="1" topLeftCell="A9" zoomScale="85" zoomScaleNormal="85" workbookViewId="0">
      <selection activeCell="K21" sqref="K21"/>
    </sheetView>
  </sheetViews>
  <sheetFormatPr defaultRowHeight="13.9" x14ac:dyDescent="0.4"/>
  <cols>
    <col min="1" max="1" width="19.53125" style="5" customWidth="1"/>
    <col min="2" max="2" width="6.9296875" style="1" customWidth="1"/>
    <col min="3" max="3" width="31.46484375" style="17" customWidth="1"/>
    <col min="4" max="4" width="9.6640625" style="5" customWidth="1"/>
    <col min="5" max="5" width="10.73046875" style="5" customWidth="1"/>
    <col min="6" max="6" width="9.06640625" style="5" customWidth="1"/>
    <col min="7" max="7" width="21.1328125" customWidth="1"/>
    <col min="8" max="8" width="10.33203125" style="1" customWidth="1"/>
    <col min="9" max="9" width="9.06640625" style="9"/>
    <col min="10" max="10" width="11.59765625" style="12" customWidth="1"/>
    <col min="11" max="11" width="9.06640625" style="13"/>
    <col min="12" max="12" width="14.86328125" style="14" customWidth="1"/>
    <col min="13" max="13" width="24.9296875" style="16" customWidth="1"/>
  </cols>
  <sheetData>
    <row r="1" spans="1:13" s="8" customFormat="1" ht="15" x14ac:dyDescent="0.4">
      <c r="A1" s="10" t="s">
        <v>1</v>
      </c>
      <c r="B1" s="10" t="s">
        <v>2</v>
      </c>
      <c r="C1" s="10" t="s">
        <v>3</v>
      </c>
      <c r="D1" s="10" t="s">
        <v>5</v>
      </c>
      <c r="E1" s="10" t="s">
        <v>35</v>
      </c>
      <c r="F1" s="10" t="s">
        <v>38</v>
      </c>
      <c r="G1" s="11" t="s">
        <v>39</v>
      </c>
      <c r="H1" s="10" t="s">
        <v>63</v>
      </c>
      <c r="I1" s="10" t="s">
        <v>65</v>
      </c>
      <c r="J1" s="10" t="s">
        <v>76</v>
      </c>
      <c r="K1" s="15" t="s">
        <v>86</v>
      </c>
      <c r="L1" s="15" t="s">
        <v>88</v>
      </c>
      <c r="M1" s="15" t="s">
        <v>91</v>
      </c>
    </row>
    <row r="2" spans="1:13" ht="27.75" x14ac:dyDescent="0.4">
      <c r="A2" s="6" t="s">
        <v>0</v>
      </c>
      <c r="B2" s="1">
        <v>2</v>
      </c>
      <c r="C2" s="17" t="s">
        <v>4</v>
      </c>
      <c r="D2" s="5" t="s">
        <v>7</v>
      </c>
      <c r="E2" s="5" t="s">
        <v>36</v>
      </c>
      <c r="F2" s="5">
        <v>9.4</v>
      </c>
      <c r="G2" s="2" t="s">
        <v>40</v>
      </c>
      <c r="H2" s="4" t="s">
        <v>64</v>
      </c>
      <c r="I2" s="9">
        <v>28.08</v>
      </c>
      <c r="J2" s="12" t="s">
        <v>77</v>
      </c>
    </row>
    <row r="3" spans="1:13" ht="41.65" x14ac:dyDescent="0.4">
      <c r="A3" s="6" t="s">
        <v>8</v>
      </c>
      <c r="B3" s="1">
        <v>2</v>
      </c>
      <c r="C3" s="17" t="s">
        <v>9</v>
      </c>
      <c r="E3" s="5" t="s">
        <v>61</v>
      </c>
      <c r="F3" s="5">
        <v>14.5</v>
      </c>
      <c r="G3" s="3" t="s">
        <v>41</v>
      </c>
      <c r="H3" s="4" t="s">
        <v>64</v>
      </c>
      <c r="I3" s="9">
        <v>29</v>
      </c>
      <c r="J3" s="18" t="s">
        <v>78</v>
      </c>
      <c r="K3" s="18" t="s">
        <v>6</v>
      </c>
      <c r="L3" s="18" t="s">
        <v>89</v>
      </c>
    </row>
    <row r="4" spans="1:13" ht="41.65" x14ac:dyDescent="0.4">
      <c r="A4" s="5" t="s">
        <v>10</v>
      </c>
      <c r="B4" s="1">
        <v>4</v>
      </c>
      <c r="C4" s="6" t="s">
        <v>11</v>
      </c>
      <c r="E4" s="5" t="s">
        <v>61</v>
      </c>
      <c r="F4" s="5">
        <v>5.9</v>
      </c>
      <c r="G4" s="3" t="s">
        <v>42</v>
      </c>
      <c r="H4" s="1" t="s">
        <v>64</v>
      </c>
      <c r="I4" s="9">
        <v>23.6</v>
      </c>
      <c r="J4" s="18"/>
      <c r="K4" s="18"/>
      <c r="L4" s="18"/>
    </row>
    <row r="5" spans="1:13" ht="41.65" x14ac:dyDescent="0.4">
      <c r="A5" s="5" t="s">
        <v>12</v>
      </c>
      <c r="B5" s="1">
        <v>2</v>
      </c>
      <c r="C5" s="17" t="s">
        <v>13</v>
      </c>
      <c r="D5" s="5" t="s">
        <v>7</v>
      </c>
      <c r="E5" s="5" t="s">
        <v>36</v>
      </c>
      <c r="F5" s="5">
        <v>45</v>
      </c>
      <c r="G5" s="3" t="s">
        <v>43</v>
      </c>
      <c r="H5" s="1" t="s">
        <v>64</v>
      </c>
      <c r="I5" s="9">
        <v>90</v>
      </c>
      <c r="J5" s="12" t="s">
        <v>77</v>
      </c>
    </row>
    <row r="6" spans="1:13" x14ac:dyDescent="0.4">
      <c r="A6" s="5" t="s">
        <v>14</v>
      </c>
      <c r="B6" s="1">
        <v>8</v>
      </c>
      <c r="C6" s="17" t="s">
        <v>15</v>
      </c>
      <c r="E6" s="5" t="s">
        <v>61</v>
      </c>
      <c r="F6" s="5">
        <v>2.83</v>
      </c>
      <c r="G6" s="2" t="s">
        <v>44</v>
      </c>
      <c r="H6" s="1" t="s">
        <v>64</v>
      </c>
      <c r="I6" s="9">
        <v>22.64</v>
      </c>
      <c r="J6" s="12" t="s">
        <v>78</v>
      </c>
      <c r="K6" s="13" t="s">
        <v>87</v>
      </c>
      <c r="L6" s="14" t="s">
        <v>89</v>
      </c>
    </row>
    <row r="7" spans="1:13" ht="14.65" customHeight="1" x14ac:dyDescent="0.4">
      <c r="A7" s="5" t="s">
        <v>16</v>
      </c>
      <c r="B7" s="1">
        <v>2</v>
      </c>
      <c r="C7" s="17" t="s">
        <v>17</v>
      </c>
      <c r="E7" s="5" t="s">
        <v>36</v>
      </c>
      <c r="F7" s="5">
        <v>35</v>
      </c>
      <c r="G7" s="2" t="s">
        <v>45</v>
      </c>
      <c r="H7" s="1" t="s">
        <v>90</v>
      </c>
      <c r="I7" s="9">
        <v>73</v>
      </c>
      <c r="J7" s="12" t="s">
        <v>77</v>
      </c>
      <c r="M7" s="16" t="s">
        <v>94</v>
      </c>
    </row>
    <row r="8" spans="1:13" ht="41.65" x14ac:dyDescent="0.4">
      <c r="A8" s="5" t="s">
        <v>18</v>
      </c>
      <c r="B8" s="1">
        <v>2</v>
      </c>
      <c r="C8" s="17" t="s">
        <v>19</v>
      </c>
      <c r="D8" s="5" t="s">
        <v>7</v>
      </c>
      <c r="E8" s="5" t="s">
        <v>61</v>
      </c>
      <c r="F8" s="5">
        <v>11.2</v>
      </c>
      <c r="G8" s="3" t="s">
        <v>46</v>
      </c>
      <c r="H8" s="1" t="s">
        <v>64</v>
      </c>
      <c r="I8" s="9">
        <v>22.4</v>
      </c>
      <c r="J8" s="12" t="s">
        <v>78</v>
      </c>
      <c r="K8" s="13" t="s">
        <v>6</v>
      </c>
      <c r="L8" s="14" t="s">
        <v>89</v>
      </c>
    </row>
    <row r="9" spans="1:13" ht="41.65" x14ac:dyDescent="0.4">
      <c r="A9" s="5" t="s">
        <v>20</v>
      </c>
      <c r="B9" s="1">
        <v>1</v>
      </c>
      <c r="C9" s="17" t="s">
        <v>21</v>
      </c>
      <c r="D9" s="5" t="s">
        <v>62</v>
      </c>
      <c r="E9" s="5" t="s">
        <v>36</v>
      </c>
      <c r="F9" s="5">
        <v>12.42</v>
      </c>
      <c r="G9" s="3" t="s">
        <v>47</v>
      </c>
      <c r="H9" s="1" t="s">
        <v>64</v>
      </c>
      <c r="I9" s="9">
        <v>14.49</v>
      </c>
      <c r="J9" s="12" t="s">
        <v>77</v>
      </c>
    </row>
    <row r="10" spans="1:13" ht="41.65" x14ac:dyDescent="0.4">
      <c r="A10" s="5" t="s">
        <v>22</v>
      </c>
      <c r="B10" s="1">
        <v>4</v>
      </c>
      <c r="C10" s="17" t="s">
        <v>23</v>
      </c>
      <c r="E10" s="5" t="s">
        <v>36</v>
      </c>
      <c r="F10" s="5">
        <v>2.27</v>
      </c>
      <c r="G10" s="3" t="s">
        <v>48</v>
      </c>
      <c r="H10" s="1" t="s">
        <v>64</v>
      </c>
      <c r="I10" s="9">
        <v>8.66</v>
      </c>
      <c r="J10" s="12" t="s">
        <v>77</v>
      </c>
    </row>
    <row r="11" spans="1:13" ht="41.65" x14ac:dyDescent="0.4">
      <c r="A11" s="5" t="s">
        <v>24</v>
      </c>
      <c r="B11" s="1">
        <v>2</v>
      </c>
      <c r="C11" s="17" t="s">
        <v>25</v>
      </c>
      <c r="E11" s="5" t="s">
        <v>36</v>
      </c>
      <c r="F11" s="5">
        <v>2.09</v>
      </c>
      <c r="G11" s="3" t="s">
        <v>49</v>
      </c>
      <c r="H11" s="1" t="s">
        <v>64</v>
      </c>
      <c r="I11" s="9">
        <v>7.04</v>
      </c>
      <c r="J11" s="12" t="s">
        <v>77</v>
      </c>
    </row>
    <row r="12" spans="1:13" x14ac:dyDescent="0.4">
      <c r="A12" s="5" t="s">
        <v>26</v>
      </c>
      <c r="B12" s="1">
        <v>4</v>
      </c>
      <c r="C12" s="17" t="s">
        <v>60</v>
      </c>
      <c r="D12" s="5" t="s">
        <v>6</v>
      </c>
      <c r="E12" s="5" t="s">
        <v>36</v>
      </c>
      <c r="H12" s="1" t="s">
        <v>64</v>
      </c>
      <c r="I12" s="9">
        <v>12.92</v>
      </c>
      <c r="J12" s="12" t="s">
        <v>78</v>
      </c>
      <c r="K12" s="13" t="s">
        <v>87</v>
      </c>
      <c r="L12" s="14" t="s">
        <v>92</v>
      </c>
    </row>
    <row r="13" spans="1:13" ht="41.65" x14ac:dyDescent="0.4">
      <c r="A13" s="5" t="s">
        <v>27</v>
      </c>
      <c r="B13" s="1">
        <v>2</v>
      </c>
      <c r="C13" s="17" t="s">
        <v>52</v>
      </c>
      <c r="D13" s="5" t="s">
        <v>7</v>
      </c>
      <c r="E13" s="5" t="s">
        <v>36</v>
      </c>
      <c r="F13" s="5">
        <v>1.98</v>
      </c>
      <c r="G13" s="3" t="s">
        <v>50</v>
      </c>
      <c r="H13" s="1" t="s">
        <v>64</v>
      </c>
      <c r="I13" s="9">
        <v>3.96</v>
      </c>
      <c r="J13" s="12" t="s">
        <v>77</v>
      </c>
    </row>
    <row r="14" spans="1:13" ht="41.65" x14ac:dyDescent="0.4">
      <c r="A14" s="5" t="s">
        <v>28</v>
      </c>
      <c r="B14" s="1">
        <v>1</v>
      </c>
      <c r="C14" s="17" t="s">
        <v>59</v>
      </c>
      <c r="D14" s="5" t="s">
        <v>6</v>
      </c>
      <c r="E14" s="5" t="s">
        <v>36</v>
      </c>
      <c r="F14" s="5">
        <v>8.86</v>
      </c>
      <c r="G14" s="3" t="s">
        <v>51</v>
      </c>
      <c r="H14" s="1" t="s">
        <v>64</v>
      </c>
      <c r="I14" s="9">
        <v>23</v>
      </c>
      <c r="J14" s="12" t="s">
        <v>78</v>
      </c>
      <c r="K14" s="13" t="s">
        <v>87</v>
      </c>
      <c r="L14" s="14" t="s">
        <v>92</v>
      </c>
    </row>
    <row r="15" spans="1:13" ht="41.65" x14ac:dyDescent="0.4">
      <c r="A15" s="5" t="s">
        <v>29</v>
      </c>
      <c r="B15" s="1">
        <v>2</v>
      </c>
      <c r="C15" s="17" t="s">
        <v>57</v>
      </c>
      <c r="D15" s="5" t="s">
        <v>6</v>
      </c>
      <c r="E15" s="5" t="s">
        <v>36</v>
      </c>
      <c r="F15" s="5">
        <v>2</v>
      </c>
      <c r="G15" s="3" t="s">
        <v>53</v>
      </c>
      <c r="H15" s="1" t="s">
        <v>64</v>
      </c>
      <c r="I15" s="9">
        <v>7</v>
      </c>
      <c r="J15" s="18" t="s">
        <v>77</v>
      </c>
    </row>
    <row r="16" spans="1:13" x14ac:dyDescent="0.4">
      <c r="A16" s="18" t="s">
        <v>58</v>
      </c>
      <c r="B16" s="1" t="s">
        <v>30</v>
      </c>
      <c r="C16" s="17" t="s">
        <v>31</v>
      </c>
      <c r="D16" s="5" t="s">
        <v>6</v>
      </c>
      <c r="E16" s="5" t="s">
        <v>36</v>
      </c>
      <c r="F16" s="5">
        <v>2.7</v>
      </c>
      <c r="G16" s="19" t="s">
        <v>54</v>
      </c>
      <c r="H16" s="18" t="s">
        <v>64</v>
      </c>
      <c r="I16" s="9">
        <v>2.7</v>
      </c>
      <c r="J16" s="18"/>
    </row>
    <row r="17" spans="1:13" x14ac:dyDescent="0.4">
      <c r="A17" s="18"/>
      <c r="B17" s="1" t="s">
        <v>30</v>
      </c>
      <c r="C17" s="17" t="s">
        <v>32</v>
      </c>
      <c r="D17" s="5" t="s">
        <v>6</v>
      </c>
      <c r="E17" s="5" t="s">
        <v>36</v>
      </c>
      <c r="F17" s="5">
        <v>2.4</v>
      </c>
      <c r="G17" s="20"/>
      <c r="H17" s="18"/>
      <c r="I17" s="9">
        <v>2.4</v>
      </c>
      <c r="J17" s="18"/>
    </row>
    <row r="18" spans="1:13" x14ac:dyDescent="0.4">
      <c r="A18" s="18"/>
      <c r="B18" s="1" t="s">
        <v>30</v>
      </c>
      <c r="C18" s="17" t="s">
        <v>33</v>
      </c>
      <c r="D18" s="5" t="s">
        <v>6</v>
      </c>
      <c r="E18" s="5" t="s">
        <v>36</v>
      </c>
      <c r="F18" s="5">
        <v>2.1</v>
      </c>
      <c r="G18" s="20"/>
      <c r="H18" s="18"/>
      <c r="I18" s="9">
        <v>2.1</v>
      </c>
      <c r="J18" s="18"/>
    </row>
    <row r="19" spans="1:13" ht="41.65" x14ac:dyDescent="0.4">
      <c r="A19" s="5" t="s">
        <v>34</v>
      </c>
      <c r="B19" s="1">
        <v>2</v>
      </c>
      <c r="C19" s="17" t="s">
        <v>56</v>
      </c>
      <c r="D19" s="5" t="s">
        <v>6</v>
      </c>
      <c r="E19" s="5" t="s">
        <v>37</v>
      </c>
      <c r="F19" s="5">
        <v>13.8</v>
      </c>
      <c r="G19" s="3" t="s">
        <v>55</v>
      </c>
      <c r="H19" s="1" t="s">
        <v>64</v>
      </c>
      <c r="I19" s="9">
        <v>27.6</v>
      </c>
      <c r="J19" s="18"/>
    </row>
    <row r="20" spans="1:13" ht="13.9" customHeight="1" x14ac:dyDescent="0.4">
      <c r="A20" s="5" t="s">
        <v>83</v>
      </c>
      <c r="B20" s="1" t="s">
        <v>84</v>
      </c>
      <c r="H20" s="1" t="s">
        <v>64</v>
      </c>
      <c r="I20" s="9">
        <v>10.199999999999999</v>
      </c>
      <c r="J20" s="4" t="s">
        <v>82</v>
      </c>
    </row>
    <row r="21" spans="1:13" x14ac:dyDescent="0.4">
      <c r="A21" s="5" t="s">
        <v>98</v>
      </c>
      <c r="B21" s="1">
        <v>2</v>
      </c>
      <c r="C21" s="17" t="s">
        <v>99</v>
      </c>
      <c r="H21" s="1" t="s">
        <v>100</v>
      </c>
      <c r="J21" s="12" t="s">
        <v>101</v>
      </c>
    </row>
    <row r="24" spans="1:13" ht="22.5" x14ac:dyDescent="0.4">
      <c r="A24" s="21" t="s">
        <v>66</v>
      </c>
      <c r="B24" s="21"/>
      <c r="C24" s="21"/>
      <c r="D24" s="21"/>
      <c r="E24" s="21"/>
      <c r="F24" s="21"/>
      <c r="G24" s="21"/>
    </row>
    <row r="25" spans="1:13" x14ac:dyDescent="0.4">
      <c r="A25" s="17" t="s">
        <v>67</v>
      </c>
      <c r="B25" s="17">
        <v>1</v>
      </c>
      <c r="D25" s="17"/>
      <c r="E25" s="17"/>
      <c r="F25" s="17"/>
      <c r="H25" s="17" t="s">
        <v>64</v>
      </c>
      <c r="I25" s="9">
        <v>22.9</v>
      </c>
      <c r="J25" s="18" t="s">
        <v>78</v>
      </c>
      <c r="K25" s="17" t="s">
        <v>87</v>
      </c>
      <c r="L25" s="17" t="s">
        <v>89</v>
      </c>
      <c r="M25" s="17"/>
    </row>
    <row r="26" spans="1:13" x14ac:dyDescent="0.4">
      <c r="A26" s="17" t="s">
        <v>69</v>
      </c>
      <c r="B26" s="17">
        <v>1</v>
      </c>
      <c r="D26" s="17"/>
      <c r="E26" s="17"/>
      <c r="F26" s="17"/>
      <c r="H26" s="17" t="s">
        <v>64</v>
      </c>
      <c r="I26" s="9">
        <v>3.31</v>
      </c>
      <c r="J26" s="18"/>
      <c r="K26" s="17" t="s">
        <v>87</v>
      </c>
      <c r="L26" s="17" t="s">
        <v>89</v>
      </c>
      <c r="M26" s="17"/>
    </row>
    <row r="27" spans="1:13" x14ac:dyDescent="0.4">
      <c r="A27" s="17" t="s">
        <v>70</v>
      </c>
      <c r="B27" s="17">
        <v>1</v>
      </c>
      <c r="D27" s="17"/>
      <c r="E27" s="17"/>
      <c r="F27" s="17"/>
      <c r="H27" s="17" t="s">
        <v>64</v>
      </c>
      <c r="I27" s="9">
        <v>3.63</v>
      </c>
      <c r="J27" s="18"/>
      <c r="K27" s="17" t="s">
        <v>87</v>
      </c>
      <c r="L27" s="17" t="s">
        <v>89</v>
      </c>
      <c r="M27" s="17"/>
    </row>
    <row r="28" spans="1:13" x14ac:dyDescent="0.4">
      <c r="A28" s="17" t="s">
        <v>71</v>
      </c>
      <c r="B28" s="17">
        <v>1</v>
      </c>
      <c r="D28" s="17"/>
      <c r="E28" s="17"/>
      <c r="F28" s="17"/>
      <c r="H28" s="17" t="s">
        <v>68</v>
      </c>
      <c r="I28" s="9">
        <v>5.71</v>
      </c>
      <c r="J28" s="17" t="s">
        <v>79</v>
      </c>
      <c r="K28" s="17"/>
      <c r="L28" s="17"/>
      <c r="M28" s="17"/>
    </row>
    <row r="29" spans="1:13" x14ac:dyDescent="0.4">
      <c r="A29" s="17" t="s">
        <v>72</v>
      </c>
      <c r="B29" s="17">
        <v>1</v>
      </c>
      <c r="D29" s="17"/>
      <c r="E29" s="17"/>
      <c r="F29" s="17"/>
      <c r="H29" s="17" t="s">
        <v>68</v>
      </c>
      <c r="I29" s="9">
        <v>17.899999999999999</v>
      </c>
      <c r="J29" s="17"/>
      <c r="K29" s="17"/>
      <c r="L29" s="17"/>
      <c r="M29" s="17"/>
    </row>
    <row r="30" spans="1:13" x14ac:dyDescent="0.4">
      <c r="A30" s="17" t="s">
        <v>73</v>
      </c>
      <c r="B30" s="17">
        <v>1</v>
      </c>
      <c r="D30" s="17"/>
      <c r="E30" s="17"/>
      <c r="F30" s="17"/>
      <c r="H30" s="17" t="s">
        <v>68</v>
      </c>
      <c r="I30" s="9">
        <v>9.1999999999999993</v>
      </c>
      <c r="J30" s="17"/>
      <c r="K30" s="17"/>
      <c r="L30" s="17"/>
      <c r="M30" s="17"/>
    </row>
    <row r="31" spans="1:13" x14ac:dyDescent="0.4">
      <c r="A31" s="17" t="s">
        <v>74</v>
      </c>
      <c r="B31" s="17">
        <v>1</v>
      </c>
      <c r="D31" s="17"/>
      <c r="E31" s="17"/>
      <c r="F31" s="17"/>
      <c r="H31" s="17" t="s">
        <v>68</v>
      </c>
      <c r="I31" s="9">
        <v>42.8</v>
      </c>
      <c r="J31" s="17"/>
      <c r="K31" s="17"/>
      <c r="L31" s="17"/>
      <c r="M31" s="17"/>
    </row>
    <row r="32" spans="1:13" x14ac:dyDescent="0.4">
      <c r="A32" s="17" t="s">
        <v>80</v>
      </c>
      <c r="B32" s="17" t="s">
        <v>81</v>
      </c>
      <c r="D32" s="17"/>
      <c r="E32" s="17"/>
      <c r="F32" s="17"/>
      <c r="H32" s="17" t="s">
        <v>64</v>
      </c>
      <c r="I32" s="9">
        <v>16.75</v>
      </c>
      <c r="J32" s="18" t="s">
        <v>82</v>
      </c>
      <c r="K32" s="17" t="s">
        <v>92</v>
      </c>
      <c r="L32" s="17" t="s">
        <v>93</v>
      </c>
      <c r="M32" s="17"/>
    </row>
    <row r="33" spans="1:13" x14ac:dyDescent="0.4">
      <c r="A33" s="17" t="s">
        <v>85</v>
      </c>
      <c r="B33" s="17">
        <v>1</v>
      </c>
      <c r="D33" s="17"/>
      <c r="E33" s="17"/>
      <c r="F33" s="17"/>
      <c r="H33" s="17" t="s">
        <v>64</v>
      </c>
      <c r="I33" s="9">
        <v>5.9</v>
      </c>
      <c r="J33" s="18"/>
      <c r="K33" s="17" t="s">
        <v>95</v>
      </c>
      <c r="L33" s="17" t="s">
        <v>93</v>
      </c>
      <c r="M33" s="17"/>
    </row>
    <row r="34" spans="1:13" x14ac:dyDescent="0.4">
      <c r="A34" s="17" t="s">
        <v>96</v>
      </c>
      <c r="B34" s="17">
        <v>1</v>
      </c>
      <c r="D34" s="17"/>
      <c r="E34" s="17"/>
      <c r="F34" s="17"/>
      <c r="H34" s="17" t="s">
        <v>97</v>
      </c>
      <c r="I34" s="9">
        <v>4.72</v>
      </c>
      <c r="J34" s="18"/>
      <c r="K34" s="17" t="s">
        <v>95</v>
      </c>
      <c r="L34" s="17" t="s">
        <v>93</v>
      </c>
      <c r="M34" s="17"/>
    </row>
    <row r="35" spans="1:13" ht="24.75" customHeight="1" x14ac:dyDescent="0.4">
      <c r="A35" s="7" t="s">
        <v>75</v>
      </c>
      <c r="B35" s="17"/>
      <c r="D35" s="17"/>
      <c r="E35" s="17"/>
      <c r="F35" s="17"/>
      <c r="H35" s="17"/>
      <c r="I35" s="9">
        <f>SUM(I2:I34)</f>
        <v>543.6099999999999</v>
      </c>
      <c r="J35" s="17"/>
      <c r="K35" s="17"/>
      <c r="L35" s="17"/>
      <c r="M35" s="17"/>
    </row>
  </sheetData>
  <mergeCells count="10">
    <mergeCell ref="J32:J34"/>
    <mergeCell ref="A16:A18"/>
    <mergeCell ref="G16:G18"/>
    <mergeCell ref="H16:H18"/>
    <mergeCell ref="A24:G24"/>
    <mergeCell ref="J25:J27"/>
    <mergeCell ref="L3:L4"/>
    <mergeCell ref="J3:J4"/>
    <mergeCell ref="J15:J19"/>
    <mergeCell ref="K3:K4"/>
  </mergeCells>
  <phoneticPr fontId="1" type="noConversion"/>
  <hyperlinks>
    <hyperlink ref="G4" r:id="rId1" xr:uid="{2581C424-3CDC-46C1-840E-97EB9C22A3C2}"/>
    <hyperlink ref="G5" r:id="rId2" xr:uid="{7E654129-062A-4B25-B7DD-23AB1356774B}"/>
    <hyperlink ref="G6" r:id="rId3" xr:uid="{C4E59A4B-2FE8-4091-A4B6-58257D7F7A66}"/>
    <hyperlink ref="G2" r:id="rId4" xr:uid="{5A219CC6-9B0A-443C-8941-77A887B730E4}"/>
    <hyperlink ref="G3" r:id="rId5" xr:uid="{9831AD67-89BF-479D-9E7C-E679E320E1CA}"/>
    <hyperlink ref="G7" r:id="rId6" xr:uid="{9A10A91C-A191-4A20-827E-2993FD210815}"/>
    <hyperlink ref="G8" r:id="rId7" xr:uid="{710FB7BA-0091-42B3-99A3-710A11F5506B}"/>
    <hyperlink ref="G9" r:id="rId8" xr:uid="{486BCB0E-7990-402F-B7FA-ECD9FA0D0D0B}"/>
    <hyperlink ref="G10" r:id="rId9" xr:uid="{48FF5606-293C-411E-BC6E-F07DAD22FF9A}"/>
    <hyperlink ref="G11" r:id="rId10" xr:uid="{0EEEA23F-48B4-480A-96E5-CC9791A380D8}"/>
    <hyperlink ref="G13" r:id="rId11" xr:uid="{ECF2402B-739E-4B82-B5AD-0677A65BF589}"/>
    <hyperlink ref="G14" r:id="rId12" xr:uid="{89F8B7C5-C9FA-415D-94B0-5C153E5773FE}"/>
    <hyperlink ref="G15" r:id="rId13" xr:uid="{008AD279-F6DF-4F09-9EC5-5321E70CD352}"/>
    <hyperlink ref="G16" r:id="rId14" xr:uid="{30FD8444-FC29-479A-8851-026C29D08839}"/>
    <hyperlink ref="G19" r:id="rId15" xr:uid="{BBE3A7E1-AFBA-4F76-9BDB-EC1C31E45D3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Azhen Sakura</dc:creator>
  <cp:lastModifiedBy>Azhen Sakura</cp:lastModifiedBy>
  <dcterms:created xsi:type="dcterms:W3CDTF">2015-06-05T18:19:34Z</dcterms:created>
  <dcterms:modified xsi:type="dcterms:W3CDTF">2026-10-15T05:42:33Z</dcterms:modified>
</cp:coreProperties>
</file>